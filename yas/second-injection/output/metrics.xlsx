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Generator Val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2">
      <c r="A2" s="1" t="inlineStr">
        <is>
          <t>Round 1 (System AS IT IS)</t>
        </is>
      </c>
    </row>
    <row r="3">
      <c r="B3" s="1" t="inlineStr">
        <is>
          <t>Completeness Metrics</t>
        </is>
      </c>
    </row>
    <row r="4">
      <c r="B4" s="2" t="inlineStr">
        <is>
          <t>Role Coverage</t>
        </is>
      </c>
      <c r="E4" s="2" t="inlineStr">
        <is>
          <t>Path Coverage</t>
        </is>
      </c>
      <c r="H4" s="2" t="inlineStr">
        <is>
          <t xml:space="preserve">Inconsistencies Detection Rate </t>
        </is>
      </c>
      <c r="K4" s="2" t="inlineStr">
        <is>
          <t>Entry Point Testing Ratio</t>
        </is>
      </c>
      <c r="N4" s="2" t="inlineStr">
        <is>
          <t>Postive to Negative Ratio</t>
        </is>
      </c>
    </row>
    <row r="5">
      <c r="A5" s="2" t="inlineStr">
        <is>
          <t>Target Endpoint</t>
        </is>
      </c>
      <c r="B5" s="2" t="inlineStr">
        <is>
          <t>R-E Combinations</t>
        </is>
      </c>
      <c r="C5" s="2" t="inlineStr">
        <is>
          <t>Total Combinations</t>
        </is>
      </c>
      <c r="D5" s="2" t="inlineStr">
        <is>
          <t>Role Coverage %</t>
        </is>
      </c>
      <c r="E5" s="2" t="inlineStr">
        <is>
          <t>Paths defined</t>
        </is>
      </c>
      <c r="F5" s="2" t="inlineStr">
        <is>
          <t>Total Paths</t>
        </is>
      </c>
      <c r="G5" s="2" t="inlineStr">
        <is>
          <t>Path Coverage %</t>
        </is>
      </c>
      <c r="H5" s="2" t="inlineStr">
        <is>
          <t>Inconsistencies Defined</t>
        </is>
      </c>
      <c r="I5" s="2" t="inlineStr">
        <is>
          <t>All Inconsistencies in Path</t>
        </is>
      </c>
      <c r="J5" s="2" t="inlineStr">
        <is>
          <t>Detection Rate</t>
        </is>
      </c>
      <c r="K5" s="2" t="inlineStr">
        <is>
          <t>Entry Point Cases</t>
        </is>
      </c>
      <c r="L5" s="2" t="inlineStr">
        <is>
          <t>Down Stream Cases</t>
        </is>
      </c>
      <c r="M5" s="2" t="inlineStr">
        <is>
          <t>Testing Ratio</t>
        </is>
      </c>
      <c r="N5" s="2" t="inlineStr">
        <is>
          <t>Positive Cases</t>
        </is>
      </c>
      <c r="O5" s="2" t="inlineStr">
        <is>
          <t>Negative Cases</t>
        </is>
      </c>
      <c r="P5" s="2" t="inlineStr">
        <is>
          <t>Ratio</t>
        </is>
      </c>
    </row>
    <row r="6">
      <c r="A6" t="inlineStr">
        <is>
          <t>GET /backoffice/ratings/latest/{?}</t>
        </is>
      </c>
      <c r="B6" t="n">
        <v>3</v>
      </c>
      <c r="C6" t="n">
        <v>3</v>
      </c>
      <c r="D6">
        <f>(B6/C6)*100</f>
        <v/>
      </c>
      <c r="E6" t="n">
        <v>1</v>
      </c>
      <c r="F6" t="n">
        <v>1</v>
      </c>
      <c r="G6">
        <f>IF(F6&gt;0,(E6/F6)*100,0)</f>
        <v/>
      </c>
      <c r="H6" t="n">
        <v>0</v>
      </c>
      <c r="I6" t="n">
        <v>0</v>
      </c>
      <c r="J6">
        <f>IF(I6&gt;0,(H6/I6)*100,0)</f>
        <v/>
      </c>
      <c r="K6" t="n">
        <v>1</v>
      </c>
      <c r="L6" t="n">
        <v>0</v>
      </c>
      <c r="M6">
        <f>IF(L6+K6&gt;0,K6/(K6+L6),0)</f>
        <v/>
      </c>
      <c r="N6" t="n">
        <v>2</v>
      </c>
      <c r="O6" t="n">
        <v>1</v>
      </c>
      <c r="P6">
        <f>IF(O6&gt;0,O6/N6,0)</f>
        <v/>
      </c>
    </row>
    <row r="7">
      <c r="A7" t="inlineStr">
        <is>
          <t>GET /storefront/customer/profile</t>
        </is>
      </c>
      <c r="B7" t="n">
        <v>3</v>
      </c>
      <c r="C7" t="n">
        <v>3</v>
      </c>
      <c r="D7">
        <f>(B7/C7)*100</f>
        <v/>
      </c>
      <c r="E7" t="n">
        <v>1</v>
      </c>
      <c r="F7" t="n">
        <v>1</v>
      </c>
      <c r="G7">
        <f>IF(F7&gt;0,(E7/F7)*100,0)</f>
        <v/>
      </c>
      <c r="H7" t="n">
        <v>0</v>
      </c>
      <c r="I7" t="n">
        <v>0</v>
      </c>
      <c r="J7">
        <f>IF(I7&gt;0,(H7/I7)*100,0)</f>
        <v/>
      </c>
      <c r="K7" t="n">
        <v>1</v>
      </c>
      <c r="L7" t="n">
        <v>0</v>
      </c>
      <c r="M7">
        <f>IF(L7+K7&gt;0,K7/(K7+L7),0)</f>
        <v/>
      </c>
      <c r="N7" t="n">
        <v>3</v>
      </c>
      <c r="O7" t="n">
        <v>0</v>
      </c>
      <c r="P7">
        <f>IF(O7&gt;0,O7/N7,0)</f>
        <v/>
      </c>
    </row>
    <row r="8">
      <c r="A8" t="inlineStr">
        <is>
          <t>GET /storefront/cart/items</t>
        </is>
      </c>
      <c r="B8" t="n">
        <v>3</v>
      </c>
      <c r="C8" t="n">
        <v>3</v>
      </c>
      <c r="D8">
        <f>(B8/C8)*100</f>
        <v/>
      </c>
      <c r="E8" t="n">
        <v>1</v>
      </c>
      <c r="F8" t="n">
        <v>1</v>
      </c>
      <c r="G8">
        <f>IF(F8&gt;0,(E8/F8)*100,0)</f>
        <v/>
      </c>
      <c r="H8" t="n">
        <v>0</v>
      </c>
      <c r="I8" t="n">
        <v>0</v>
      </c>
      <c r="J8">
        <f>IF(I8&gt;0,(H8/I8)*100,0)</f>
        <v/>
      </c>
      <c r="K8" t="n">
        <v>1</v>
      </c>
      <c r="L8" t="n">
        <v>0</v>
      </c>
      <c r="M8">
        <f>IF(L8+K8&gt;0,K8/(K8+L8),0)</f>
        <v/>
      </c>
      <c r="N8" t="n">
        <v>3</v>
      </c>
      <c r="O8" t="n">
        <v>0</v>
      </c>
      <c r="P8">
        <f>IF(O8&gt;0,O8/N8,0)</f>
        <v/>
      </c>
    </row>
    <row r="9">
      <c r="A9" t="inlineStr">
        <is>
          <t>POST /backoffice/products</t>
        </is>
      </c>
      <c r="B9" t="n">
        <v>3</v>
      </c>
      <c r="C9" t="n">
        <v>3</v>
      </c>
      <c r="D9">
        <f>(B9/C9)*100</f>
        <v/>
      </c>
      <c r="E9" t="n">
        <v>1</v>
      </c>
      <c r="F9" t="n">
        <v>1</v>
      </c>
      <c r="G9">
        <f>IF(F9&gt;0,(E9/F9)*100,0)</f>
        <v/>
      </c>
      <c r="H9" t="n">
        <v>1</v>
      </c>
      <c r="I9" t="n">
        <v>3</v>
      </c>
      <c r="J9">
        <f>IF(I9&gt;0,(H9/I9)*100,0)</f>
        <v/>
      </c>
      <c r="K9" t="n">
        <v>0</v>
      </c>
      <c r="L9" t="n">
        <v>1</v>
      </c>
      <c r="M9">
        <f>IF(L9+K9&gt;0,K9/(K9+L9),0)</f>
        <v/>
      </c>
      <c r="N9" t="n">
        <v>2</v>
      </c>
      <c r="O9" t="n">
        <v>1</v>
      </c>
      <c r="P9">
        <f>IF(O9&gt;0,O9/N9,0)</f>
        <v/>
      </c>
    </row>
    <row r="10">
      <c r="A10" t="inlineStr">
        <is>
          <t>POST /storefront/ratings</t>
        </is>
      </c>
      <c r="B10" t="n">
        <v>3</v>
      </c>
      <c r="C10" t="n">
        <v>3</v>
      </c>
      <c r="D10">
        <f>(B10/C10)*100</f>
        <v/>
      </c>
      <c r="E10" t="n">
        <v>1</v>
      </c>
      <c r="F10" t="n">
        <v>1</v>
      </c>
      <c r="G10">
        <f>IF(F10&gt;0,(E10/F10)*100,0)</f>
        <v/>
      </c>
      <c r="H10" t="n">
        <v>2</v>
      </c>
      <c r="I10" t="n">
        <v>1</v>
      </c>
      <c r="J10">
        <f>IF(I10&gt;0,(H10/I10)*100,0)</f>
        <v/>
      </c>
      <c r="K10" t="n">
        <v>0</v>
      </c>
      <c r="L10" t="n">
        <v>1</v>
      </c>
      <c r="M10">
        <f>IF(L10+K10&gt;0,K10/(K10+L10),0)</f>
        <v/>
      </c>
      <c r="N10" t="n">
        <v>2</v>
      </c>
      <c r="O10" t="n">
        <v>0</v>
      </c>
      <c r="P10">
        <f>IF(O10&gt;0,O10/N10,0)</f>
        <v/>
      </c>
    </row>
    <row r="11">
      <c r="A11" t="inlineStr">
        <is>
          <t>POST /storefront/sampledata</t>
        </is>
      </c>
      <c r="B11" t="n">
        <v>3</v>
      </c>
      <c r="C11" t="n">
        <v>3</v>
      </c>
      <c r="D11">
        <f>(B11/C11)*100</f>
        <v/>
      </c>
      <c r="E11" t="n">
        <v>1</v>
      </c>
      <c r="F11" t="n">
        <v>1</v>
      </c>
      <c r="G11">
        <f>IF(F11&gt;0,(E11/F11)*100,0)</f>
        <v/>
      </c>
      <c r="H11" t="n">
        <v>0</v>
      </c>
      <c r="I11" t="n">
        <v>0</v>
      </c>
      <c r="J11">
        <f>IF(I11&gt;0,(H11/I11)*100,0)</f>
        <v/>
      </c>
      <c r="K11" t="n">
        <v>0</v>
      </c>
      <c r="L11" t="n">
        <v>1</v>
      </c>
      <c r="M11">
        <f>IF(L11+K11&gt;0,K11/(K11+L11),0)</f>
        <v/>
      </c>
      <c r="N11" t="n">
        <v>3</v>
      </c>
      <c r="O11" t="n">
        <v>0</v>
      </c>
      <c r="P11">
        <f>IF(O11&gt;0,O11/N11,0)</f>
        <v/>
      </c>
    </row>
    <row r="12">
      <c r="A12" t="inlineStr">
        <is>
          <t>DELETE /backoffice/ratings/{?}</t>
        </is>
      </c>
      <c r="B12" t="n">
        <v>3</v>
      </c>
      <c r="C12" t="n">
        <v>3</v>
      </c>
      <c r="D12">
        <f>(B12/C12)*100</f>
        <v/>
      </c>
      <c r="E12" t="n">
        <v>1</v>
      </c>
      <c r="F12" t="n">
        <v>1</v>
      </c>
      <c r="G12">
        <f>IF(F12&gt;0,(E12/F12)*100,0)</f>
        <v/>
      </c>
      <c r="H12" t="n">
        <v>1</v>
      </c>
      <c r="I12" t="n">
        <v>2</v>
      </c>
      <c r="J12">
        <f>IF(I12&gt;0,(H12/I12)*100,0)</f>
        <v/>
      </c>
      <c r="K12" t="n">
        <v>0</v>
      </c>
      <c r="L12" t="n">
        <v>1</v>
      </c>
      <c r="M12">
        <f>IF(L12+K12&gt;0,K12/(K12+L12),0)</f>
        <v/>
      </c>
      <c r="N12" t="n">
        <v>2</v>
      </c>
      <c r="O12" t="n">
        <v>1</v>
      </c>
      <c r="P12">
        <f>IF(O12&gt;0,O12/N12,0)</f>
        <v/>
      </c>
    </row>
    <row r="13">
      <c r="A13" t="inlineStr">
        <is>
          <t>DELETE /ApiConstant.WAREHOUSE_URL/{?}</t>
        </is>
      </c>
      <c r="B13" t="n">
        <v>0</v>
      </c>
      <c r="C13" t="n">
        <v>3</v>
      </c>
      <c r="D13">
        <f>(B13/C13)*100</f>
        <v/>
      </c>
      <c r="E13" t="n">
        <v>0</v>
      </c>
      <c r="F13" t="n">
        <v>1</v>
      </c>
      <c r="G13">
        <f>IF(F13&gt;0,(E13/F13)*100,0)</f>
        <v/>
      </c>
      <c r="H13" t="n">
        <v>0</v>
      </c>
      <c r="I13" t="n">
        <v>0</v>
      </c>
      <c r="J13">
        <f>IF(I13&gt;0,(H13/I13)*100,0)</f>
        <v/>
      </c>
      <c r="K13" t="n">
        <v>0</v>
      </c>
      <c r="L13" t="n">
        <v>0</v>
      </c>
      <c r="M13">
        <f>IF(L13+K13&gt;0,K13/(K13+L13),0)</f>
        <v/>
      </c>
      <c r="N13" t="n">
        <v>0</v>
      </c>
      <c r="O13" t="n">
        <v>0</v>
      </c>
      <c r="P13">
        <f>IF(O13&gt;0,O13/N13,0)</f>
        <v/>
      </c>
    </row>
    <row r="14">
      <c r="A14" t="inlineStr">
        <is>
          <t>PUT /backoffice/products/subtract-quantity</t>
        </is>
      </c>
      <c r="B14" t="n">
        <v>3</v>
      </c>
      <c r="C14" t="n">
        <v>3</v>
      </c>
      <c r="D14">
        <f>(B14/C14)*100</f>
        <v/>
      </c>
      <c r="E14" t="n">
        <v>1</v>
      </c>
      <c r="F14" t="n">
        <v>1</v>
      </c>
      <c r="G14">
        <f>IF(F14&gt;0,(E14/F14)*100,0)</f>
        <v/>
      </c>
      <c r="H14" t="n">
        <v>0</v>
      </c>
      <c r="I14" t="n">
        <v>0</v>
      </c>
      <c r="J14">
        <f>IF(I14&gt;0,(H14/I14)*100,0)</f>
        <v/>
      </c>
      <c r="K14" t="n">
        <v>1</v>
      </c>
      <c r="L14" t="n">
        <v>0</v>
      </c>
      <c r="M14">
        <f>IF(L14+K14&gt;0,K14/(K14+L14),0)</f>
        <v/>
      </c>
      <c r="N14" t="n">
        <v>2</v>
      </c>
      <c r="O14" t="n">
        <v>1</v>
      </c>
      <c r="P14">
        <f>IF(O14&gt;0,O14/N14,0)</f>
        <v/>
      </c>
    </row>
    <row r="15">
      <c r="A15" t="inlineStr">
        <is>
          <t>PUT /Constants.ApiConstant.STATE_OR_PROVINCES_URL/{?}</t>
        </is>
      </c>
      <c r="B15" t="n">
        <v>0</v>
      </c>
      <c r="C15" t="n">
        <v>3</v>
      </c>
      <c r="D15">
        <f>(B15/C15)*100</f>
        <v/>
      </c>
      <c r="E15" t="n">
        <v>0</v>
      </c>
      <c r="F15" t="n">
        <v>1</v>
      </c>
      <c r="G15">
        <f>IF(F15&gt;0,(E15/F15)*100,0)</f>
        <v/>
      </c>
      <c r="H15" t="n">
        <v>0</v>
      </c>
      <c r="I15" t="n">
        <v>0</v>
      </c>
      <c r="J15">
        <f>IF(I15&gt;0,(H15/I15)*100,0)</f>
        <v/>
      </c>
      <c r="K15" t="n">
        <v>0</v>
      </c>
      <c r="L15" t="n">
        <v>0</v>
      </c>
      <c r="M15">
        <f>IF(L15+K15&gt;0,K15/(K15+L15),0)</f>
        <v/>
      </c>
      <c r="N15" t="n">
        <v>0</v>
      </c>
      <c r="O15" t="n">
        <v>0</v>
      </c>
      <c r="P15">
        <f>IF(O15&gt;0,O15/N15,0)</f>
        <v/>
      </c>
    </row>
    <row r="19">
      <c r="B19" s="1" t="inlineStr">
        <is>
          <t>Correctness Metrics</t>
        </is>
      </c>
    </row>
    <row r="20">
      <c r="B20" s="2" t="inlineStr">
        <is>
          <t>Correct Expected Outcome Rate</t>
        </is>
      </c>
      <c r="E20" s="2" t="inlineStr">
        <is>
          <t>Correct Role Assignment Rate</t>
        </is>
      </c>
      <c r="H20" s="2" t="inlineStr">
        <is>
          <t xml:space="preserve">Correct Parameter Specification Rate </t>
        </is>
      </c>
      <c r="K20" s="2" t="inlineStr">
        <is>
          <t>True Negative Rate</t>
        </is>
      </c>
      <c r="N20" s="2" t="inlineStr">
        <is>
          <t>False Negative Rate</t>
        </is>
      </c>
      <c r="Q20" s="2" t="inlineStr">
        <is>
          <t>False Positive Rate</t>
        </is>
      </c>
      <c r="T20" s="2" t="inlineStr">
        <is>
          <t>Precision</t>
        </is>
      </c>
      <c r="U20" s="2" t="inlineStr">
        <is>
          <t>Recall</t>
        </is>
      </c>
      <c r="V20" s="2" t="inlineStr">
        <is>
          <t>F1 Score</t>
        </is>
      </c>
    </row>
    <row r="21">
      <c r="A21" s="2" t="inlineStr">
        <is>
          <t>Target Endpoint</t>
        </is>
      </c>
      <c r="B21" s="2" t="inlineStr">
        <is>
          <t xml:space="preserve">Cases with Correct Expected Status Codes </t>
        </is>
      </c>
      <c r="C21" s="2" t="inlineStr">
        <is>
          <t>Total Cases</t>
        </is>
      </c>
      <c r="D21" s="2" t="inlineStr">
        <is>
          <t>Correct Outcome %</t>
        </is>
      </c>
      <c r="E21" s="2" t="inlineStr">
        <is>
          <t>Cases with correct role-permission mapping</t>
        </is>
      </c>
      <c r="F21" s="2" t="inlineStr">
        <is>
          <t>Total Cases</t>
        </is>
      </c>
      <c r="G21" s="2" t="inlineStr">
        <is>
          <t>Correct Role Assignment %</t>
        </is>
      </c>
      <c r="H21" s="2" t="inlineStr">
        <is>
          <t>Cases with Valid Parameters</t>
        </is>
      </c>
      <c r="I21" s="2" t="inlineStr">
        <is>
          <t>Total Cases</t>
        </is>
      </c>
      <c r="J21" s="2" t="inlineStr">
        <is>
          <t>Parameter Specification Rate</t>
        </is>
      </c>
      <c r="K21" s="2" t="inlineStr">
        <is>
          <t>Cases that correctly captures inconsistency (TN)</t>
        </is>
      </c>
      <c r="L21" s="2" t="inlineStr">
        <is>
          <t>Cases that missed inconsistency (FP)</t>
        </is>
      </c>
      <c r="M21" s="2" t="inlineStr">
        <is>
          <t>TNR</t>
        </is>
      </c>
      <c r="N21" s="2" t="inlineStr">
        <is>
          <t>Cases that incorrectly captures inconsistencies (FN)</t>
        </is>
      </c>
      <c r="O21" s="2" t="inlineStr">
        <is>
          <t xml:space="preserve">Cases that tests consistency (TP) </t>
        </is>
      </c>
      <c r="P21" s="2" t="inlineStr">
        <is>
          <t>FNR</t>
        </is>
      </c>
      <c r="Q21" s="2" t="inlineStr">
        <is>
          <t>Cases that missed inconsistency (FP)</t>
        </is>
      </c>
      <c r="R21" s="2" t="inlineStr">
        <is>
          <t>Cases that correctly captures inconsistency (TN)</t>
        </is>
      </c>
      <c r="S21" s="2" t="inlineStr">
        <is>
          <t>FPR</t>
        </is>
      </c>
      <c r="T21" s="2" t="inlineStr">
        <is>
          <t>Precision</t>
        </is>
      </c>
      <c r="U21" s="2" t="inlineStr">
        <is>
          <t>Recall</t>
        </is>
      </c>
      <c r="V21" s="2" t="inlineStr">
        <is>
          <t>F1 Score</t>
        </is>
      </c>
    </row>
    <row r="22">
      <c r="A22" t="inlineStr">
        <is>
          <t>GET /backoffice/ratings/latest/{?}</t>
        </is>
      </c>
      <c r="B22" t="n">
        <v>2</v>
      </c>
      <c r="C22" t="n">
        <v>3</v>
      </c>
      <c r="D22">
        <f>IF(C22&gt;0,(B22/C22)*100,0)</f>
        <v/>
      </c>
      <c r="E22" t="n">
        <v>2</v>
      </c>
      <c r="F22" t="n">
        <v>3</v>
      </c>
      <c r="G22">
        <f>(E22/F22)*100</f>
        <v/>
      </c>
      <c r="H22" t="n">
        <v>3</v>
      </c>
      <c r="I22" t="n">
        <v>3</v>
      </c>
      <c r="J22">
        <f>IF(I22&gt;0,(H22/I22)*100,0)</f>
        <v/>
      </c>
      <c r="K22" t="n">
        <v>0</v>
      </c>
      <c r="L22" t="n">
        <v>0</v>
      </c>
      <c r="M22">
        <f>IF(K22+L22&gt;0,K22/(K22+L22),0)</f>
        <v/>
      </c>
      <c r="N22" t="n">
        <v>0</v>
      </c>
      <c r="O22" t="n">
        <v>0</v>
      </c>
      <c r="P22">
        <f>IF(N22+O22&gt;0,N22/(N22+O22),0)</f>
        <v/>
      </c>
      <c r="Q22" t="n">
        <v>0</v>
      </c>
      <c r="R22" t="n">
        <v>0</v>
      </c>
      <c r="S22">
        <f>IF(Q22+R22&gt;0,Q22/(Q22+R22),0)</f>
        <v/>
      </c>
      <c r="T22">
        <f>IF(K22+N22&gt;0,K22/(K22+N22),0)</f>
        <v/>
      </c>
      <c r="U22">
        <f>IF(K22+Q22&gt;0,K22/(K22+Q22),0)</f>
        <v/>
      </c>
      <c r="V22">
        <f>IF(T22+U22&gt;0,2*(T22*U22)/(T22+U22),0)</f>
        <v/>
      </c>
    </row>
    <row r="23">
      <c r="A23" t="inlineStr">
        <is>
          <t>GET /storefront/customer/profile</t>
        </is>
      </c>
      <c r="B23" t="n">
        <v>1</v>
      </c>
      <c r="C23" t="n">
        <v>3</v>
      </c>
      <c r="D23">
        <f>IF(C23&gt;0,(B23/C23)*100,0)</f>
        <v/>
      </c>
      <c r="E23" t="n">
        <v>1</v>
      </c>
      <c r="F23" t="n">
        <v>3</v>
      </c>
      <c r="G23">
        <f>(E23/F23)*100</f>
        <v/>
      </c>
      <c r="H23" t="n">
        <v>3</v>
      </c>
      <c r="I23" t="n">
        <v>3</v>
      </c>
      <c r="J23">
        <f>IF(I23&gt;0,(H23/I23)*100,0)</f>
        <v/>
      </c>
      <c r="K23" t="n">
        <v>0</v>
      </c>
      <c r="L23" t="n">
        <v>0</v>
      </c>
      <c r="M23">
        <f>IF(K23+L23&gt;0,K23/(K23+L23),0)</f>
        <v/>
      </c>
      <c r="N23" t="n">
        <v>0</v>
      </c>
      <c r="O23" t="n">
        <v>0</v>
      </c>
      <c r="P23">
        <f>IF(N23+O23&gt;0,N23/(N23+O23),0)</f>
        <v/>
      </c>
      <c r="Q23" t="n">
        <v>0</v>
      </c>
      <c r="R23" t="n">
        <v>0</v>
      </c>
      <c r="S23">
        <f>IF(Q23+R23&gt;0,Q23/(Q23+R23),0)</f>
        <v/>
      </c>
      <c r="T23">
        <f>IF(K23+N23&gt;0,K23/(K23+N23),0)</f>
        <v/>
      </c>
      <c r="U23">
        <f>IF(K23+Q23&gt;0,K23/(K23+Q23),0)</f>
        <v/>
      </c>
      <c r="V23">
        <f>IF(T23+U23&gt;0,2*(T23*U23)/(T23+U23),0)</f>
        <v/>
      </c>
    </row>
    <row r="24">
      <c r="A24" t="inlineStr">
        <is>
          <t>GET /storefront/cart/items</t>
        </is>
      </c>
      <c r="B24" t="n">
        <v>3</v>
      </c>
      <c r="C24" t="n">
        <v>3</v>
      </c>
      <c r="D24">
        <f>IF(C24&gt;0,(B24/C24)*100,0)</f>
        <v/>
      </c>
      <c r="E24" t="n">
        <v>3</v>
      </c>
      <c r="F24" t="n">
        <v>3</v>
      </c>
      <c r="G24">
        <f>(E24/F24)*100</f>
        <v/>
      </c>
      <c r="H24" t="n">
        <v>3</v>
      </c>
      <c r="I24" t="n">
        <v>3</v>
      </c>
      <c r="J24">
        <f>IF(I24&gt;0,(H24/I24)*100,0)</f>
        <v/>
      </c>
      <c r="K24" t="n">
        <v>0</v>
      </c>
      <c r="L24" t="n">
        <v>0</v>
      </c>
      <c r="M24">
        <f>IF(K24+L24&gt;0,K24/(K24+L24),0)</f>
        <v/>
      </c>
      <c r="N24" t="n">
        <v>0</v>
      </c>
      <c r="O24" t="n">
        <v>0</v>
      </c>
      <c r="P24">
        <f>IF(N24+O24&gt;0,N24/(N24+O24),0)</f>
        <v/>
      </c>
      <c r="Q24" t="n">
        <v>0</v>
      </c>
      <c r="R24" t="n">
        <v>0</v>
      </c>
      <c r="S24">
        <f>IF(Q24+R24&gt;0,Q24/(Q24+R24),0)</f>
        <v/>
      </c>
      <c r="T24">
        <f>IF(K24+N24&gt;0,K24/(K24+N24),0)</f>
        <v/>
      </c>
      <c r="U24">
        <f>IF(K24+Q24&gt;0,K24/(K24+Q24),0)</f>
        <v/>
      </c>
      <c r="V24">
        <f>IF(T24+U24&gt;0,2*(T24*U24)/(T24+U24),0)</f>
        <v/>
      </c>
    </row>
    <row r="25">
      <c r="A25" t="inlineStr">
        <is>
          <t>POST /backoffice/products</t>
        </is>
      </c>
      <c r="B25" t="n">
        <v>2</v>
      </c>
      <c r="C25" t="n">
        <v>3</v>
      </c>
      <c r="D25">
        <f>IF(C25&gt;0,(B25/C25)*100,0)</f>
        <v/>
      </c>
      <c r="E25" t="n">
        <v>3</v>
      </c>
      <c r="F25" t="n">
        <v>3</v>
      </c>
      <c r="G25">
        <f>(E25/F25)*100</f>
        <v/>
      </c>
      <c r="H25" t="n">
        <v>3</v>
      </c>
      <c r="I25" t="n">
        <v>3</v>
      </c>
      <c r="J25">
        <f>IF(I25&gt;0,(H25/I25)*100,0)</f>
        <v/>
      </c>
      <c r="K25" t="n">
        <v>1</v>
      </c>
      <c r="L25" t="n">
        <v>0</v>
      </c>
      <c r="M25">
        <f>IF(K25+L25&gt;0,K25/(K25+L25),0)</f>
        <v/>
      </c>
      <c r="N25" t="n">
        <v>0</v>
      </c>
      <c r="O25" t="n">
        <v>0</v>
      </c>
      <c r="P25">
        <f>IF(N25+O25&gt;0,N25/(N25+O25),0)</f>
        <v/>
      </c>
      <c r="Q25" t="n">
        <v>0</v>
      </c>
      <c r="R25" t="n">
        <v>1</v>
      </c>
      <c r="S25">
        <f>IF(Q25+R25&gt;0,Q25/(Q25+R25),0)</f>
        <v/>
      </c>
      <c r="T25">
        <f>IF(K25+N25&gt;0,K25/(K25+N25),0)</f>
        <v/>
      </c>
      <c r="U25">
        <f>IF(K25+Q25&gt;0,K25/(K25+Q25),0)</f>
        <v/>
      </c>
      <c r="V25">
        <f>IF(T25+U25&gt;0,2*(T25*U25)/(T25+U25),0)</f>
        <v/>
      </c>
    </row>
    <row r="26">
      <c r="A26" t="inlineStr">
        <is>
          <t>POST /storefront/ratings</t>
        </is>
      </c>
      <c r="B26" t="n">
        <v>3</v>
      </c>
      <c r="C26" t="n">
        <v>3</v>
      </c>
      <c r="D26">
        <f>IF(C26&gt;0,(B26/C26)*100,0)</f>
        <v/>
      </c>
      <c r="E26" t="n">
        <v>3</v>
      </c>
      <c r="F26" t="n">
        <v>3</v>
      </c>
      <c r="G26">
        <f>(E26/F26)*100</f>
        <v/>
      </c>
      <c r="H26" t="n">
        <v>3</v>
      </c>
      <c r="I26" t="n">
        <v>3</v>
      </c>
      <c r="J26">
        <f>IF(I26&gt;0,(H26/I26)*100,0)</f>
        <v/>
      </c>
      <c r="K26" t="n">
        <v>0</v>
      </c>
      <c r="L26" t="n">
        <v>0</v>
      </c>
      <c r="M26">
        <f>IF(K26+L26&gt;0,K26/(K26+L26),0)</f>
        <v/>
      </c>
      <c r="N26" t="n">
        <v>1</v>
      </c>
      <c r="O26" t="n">
        <v>0</v>
      </c>
      <c r="P26">
        <f>IF(N26+O26&gt;0,N26/(N26+O26),0)</f>
        <v/>
      </c>
      <c r="Q26" t="n">
        <v>0</v>
      </c>
      <c r="R26" t="n">
        <v>0</v>
      </c>
      <c r="S26">
        <f>IF(Q26+R26&gt;0,Q26/(Q26+R26),0)</f>
        <v/>
      </c>
      <c r="T26">
        <f>IF(K26+N26&gt;0,K26/(K26+N26),0)</f>
        <v/>
      </c>
      <c r="U26">
        <f>IF(K26+Q26&gt;0,K26/(K26+Q26),0)</f>
        <v/>
      </c>
      <c r="V26">
        <f>IF(T26+U26&gt;0,2*(T26*U26)/(T26+U26),0)</f>
        <v/>
      </c>
    </row>
    <row r="27">
      <c r="A27" t="inlineStr">
        <is>
          <t>POST /storefront/sampledata</t>
        </is>
      </c>
      <c r="B27" t="n">
        <v>3</v>
      </c>
      <c r="C27" t="n">
        <v>3</v>
      </c>
      <c r="D27">
        <f>IF(C27&gt;0,(B27/C27)*100,0)</f>
        <v/>
      </c>
      <c r="E27" t="n">
        <v>0</v>
      </c>
      <c r="F27" t="n">
        <v>3</v>
      </c>
      <c r="G27">
        <f>(E27/F27)*100</f>
        <v/>
      </c>
      <c r="H27" t="n">
        <v>3</v>
      </c>
      <c r="I27" t="n">
        <v>3</v>
      </c>
      <c r="J27">
        <f>IF(I27&gt;0,(H27/I27)*100,0)</f>
        <v/>
      </c>
      <c r="K27" t="n">
        <v>0</v>
      </c>
      <c r="L27" t="n">
        <v>0</v>
      </c>
      <c r="M27">
        <f>IF(K27+L27&gt;0,K27/(K27+L27),0)</f>
        <v/>
      </c>
      <c r="N27" t="n">
        <v>0</v>
      </c>
      <c r="O27" t="n">
        <v>1</v>
      </c>
      <c r="P27">
        <f>IF(N27+O27&gt;0,N27/(N27+O27),0)</f>
        <v/>
      </c>
      <c r="Q27" t="n">
        <v>0</v>
      </c>
      <c r="R27" t="n">
        <v>0</v>
      </c>
      <c r="S27">
        <f>IF(Q27+R27&gt;0,Q27/(Q27+R27),0)</f>
        <v/>
      </c>
      <c r="T27">
        <f>IF(K27+N27&gt;0,K27/(K27+N27),0)</f>
        <v/>
      </c>
      <c r="U27">
        <f>IF(K27+Q27&gt;0,K27/(K27+Q27),0)</f>
        <v/>
      </c>
      <c r="V27">
        <f>IF(T27+U27&gt;0,2*(T27*U27)/(T27+U27),0)</f>
        <v/>
      </c>
    </row>
    <row r="28">
      <c r="A28" t="inlineStr">
        <is>
          <t>DELETE /backoffice/ratings/{?}</t>
        </is>
      </c>
      <c r="B28" t="n">
        <v>2</v>
      </c>
      <c r="C28" t="n">
        <v>3</v>
      </c>
      <c r="D28">
        <f>IF(C28&gt;0,(B28/C28)*100,0)</f>
        <v/>
      </c>
      <c r="E28" t="n">
        <v>3</v>
      </c>
      <c r="F28" t="n">
        <v>3</v>
      </c>
      <c r="G28">
        <f>(E28/F28)*100</f>
        <v/>
      </c>
      <c r="H28" t="n">
        <v>3</v>
      </c>
      <c r="I28" t="n">
        <v>3</v>
      </c>
      <c r="J28">
        <f>IF(I28&gt;0,(H28/I28)*100,0)</f>
        <v/>
      </c>
      <c r="K28" t="n">
        <v>1</v>
      </c>
      <c r="L28" t="n">
        <v>0</v>
      </c>
      <c r="M28">
        <f>IF(K28+L28&gt;0,K28/(K28+L28),0)</f>
        <v/>
      </c>
      <c r="N28" t="n">
        <v>0</v>
      </c>
      <c r="O28" t="n">
        <v>0</v>
      </c>
      <c r="P28">
        <f>IF(N28+O28&gt;0,N28/(N28+O28),0)</f>
        <v/>
      </c>
      <c r="Q28" t="n">
        <v>0</v>
      </c>
      <c r="R28" t="n">
        <v>1</v>
      </c>
      <c r="S28">
        <f>IF(Q28+R28&gt;0,Q28/(Q28+R28),0)</f>
        <v/>
      </c>
      <c r="T28">
        <f>IF(K28+N28&gt;0,K28/(K28+N28),0)</f>
        <v/>
      </c>
      <c r="U28">
        <f>IF(K28+Q28&gt;0,K28/(K28+Q28),0)</f>
        <v/>
      </c>
      <c r="V28">
        <f>IF(T28+U28&gt;0,2*(T28*U28)/(T28+U28),0)</f>
        <v/>
      </c>
    </row>
    <row r="29">
      <c r="A29" t="inlineStr">
        <is>
          <t>DELETE /ApiConstant.WAREHOUSE_URL/{?}</t>
        </is>
      </c>
      <c r="B29" t="n">
        <v>0</v>
      </c>
      <c r="C29" t="n">
        <v>0</v>
      </c>
      <c r="D29">
        <f>IF(C29&gt;0,(B29/C29)*100,0)</f>
        <v/>
      </c>
      <c r="E29" t="n">
        <v>0</v>
      </c>
      <c r="F29" t="n">
        <v>0</v>
      </c>
      <c r="G29">
        <f>(E29/F29)*100</f>
        <v/>
      </c>
      <c r="H29" t="n">
        <v>0</v>
      </c>
      <c r="I29" t="n">
        <v>0</v>
      </c>
      <c r="J29">
        <f>IF(I29&gt;0,(H29/I29)*100,0)</f>
        <v/>
      </c>
      <c r="K29" t="n">
        <v>0</v>
      </c>
      <c r="L29" t="n">
        <v>0</v>
      </c>
      <c r="M29">
        <f>IF(K29+L29&gt;0,K29/(K29+L29),0)</f>
        <v/>
      </c>
      <c r="N29" t="n">
        <v>0</v>
      </c>
      <c r="O29" t="n">
        <v>0</v>
      </c>
      <c r="P29">
        <f>IF(N29+O29&gt;0,N29/(N29+O29),0)</f>
        <v/>
      </c>
      <c r="Q29" t="n">
        <v>0</v>
      </c>
      <c r="R29" t="n">
        <v>0</v>
      </c>
      <c r="S29">
        <f>IF(Q29+R29&gt;0,Q29/(Q29+R29),0)</f>
        <v/>
      </c>
      <c r="T29">
        <f>IF(K29+N29&gt;0,K29/(K29+N29),0)</f>
        <v/>
      </c>
      <c r="U29">
        <f>IF(K29+Q29&gt;0,K29/(K29+Q29),0)</f>
        <v/>
      </c>
      <c r="V29">
        <f>IF(T29+U29&gt;0,2*(T29*U29)/(T29+U29),0)</f>
        <v/>
      </c>
    </row>
    <row r="30">
      <c r="A30" t="inlineStr">
        <is>
          <t>PUT /backoffice/products/subtract-quantity</t>
        </is>
      </c>
      <c r="B30" t="n">
        <v>2</v>
      </c>
      <c r="C30" t="n">
        <v>3</v>
      </c>
      <c r="D30">
        <f>IF(C30&gt;0,(B30/C30)*100,0)</f>
        <v/>
      </c>
      <c r="E30" t="n">
        <v>2</v>
      </c>
      <c r="F30" t="n">
        <v>3</v>
      </c>
      <c r="G30">
        <f>(E30/F30)*100</f>
        <v/>
      </c>
      <c r="H30" t="n">
        <v>3</v>
      </c>
      <c r="I30" t="n">
        <v>3</v>
      </c>
      <c r="J30">
        <f>IF(I30&gt;0,(H30/I30)*100,0)</f>
        <v/>
      </c>
      <c r="K30" t="n">
        <v>0</v>
      </c>
      <c r="L30" t="n">
        <v>0</v>
      </c>
      <c r="M30">
        <f>IF(K30+L30&gt;0,K30/(K30+L30),0)</f>
        <v/>
      </c>
      <c r="N30" t="n">
        <v>0</v>
      </c>
      <c r="O30" t="n">
        <v>0</v>
      </c>
      <c r="P30">
        <f>IF(N30+O30&gt;0,N30/(N30+O30),0)</f>
        <v/>
      </c>
      <c r="Q30" t="n">
        <v>0</v>
      </c>
      <c r="R30" t="n">
        <v>0</v>
      </c>
      <c r="S30">
        <f>IF(Q30+R30&gt;0,Q30/(Q30+R30),0)</f>
        <v/>
      </c>
      <c r="T30">
        <f>IF(K30+N30&gt;0,K30/(K30+N30),0)</f>
        <v/>
      </c>
      <c r="U30">
        <f>IF(K30+Q30&gt;0,K30/(K30+Q30),0)</f>
        <v/>
      </c>
      <c r="V30">
        <f>IF(T30+U30&gt;0,2*(T30*U30)/(T30+U30),0)</f>
        <v/>
      </c>
    </row>
    <row r="31">
      <c r="A31" t="inlineStr">
        <is>
          <t>PUT /Constants.ApiConstant.STATE_OR_PROVINCES_URL/{?}</t>
        </is>
      </c>
      <c r="B31" t="n">
        <v>0</v>
      </c>
      <c r="C31" t="n">
        <v>0</v>
      </c>
      <c r="D31">
        <f>IF(C31&gt;0,(B31/C31)*100,0)</f>
        <v/>
      </c>
      <c r="E31" t="n">
        <v>0</v>
      </c>
      <c r="F31" t="n">
        <v>0</v>
      </c>
      <c r="G31">
        <f>(E31/F31)*100</f>
        <v/>
      </c>
      <c r="H31" t="n">
        <v>0</v>
      </c>
      <c r="I31" t="n">
        <v>0</v>
      </c>
      <c r="J31">
        <f>IF(I31&gt;0,(H31/I31)*100,0)</f>
        <v/>
      </c>
      <c r="K31" t="n">
        <v>0</v>
      </c>
      <c r="L31" t="n">
        <v>0</v>
      </c>
      <c r="M31">
        <f>IF(K31+L31&gt;0,K31/(K31+L31),0)</f>
        <v/>
      </c>
      <c r="N31" t="n">
        <v>0</v>
      </c>
      <c r="O31" t="n">
        <v>0</v>
      </c>
      <c r="P31">
        <f>IF(N31+O31&gt;0,N31/(N31+O31),0)</f>
        <v/>
      </c>
      <c r="Q31" t="n">
        <v>0</v>
      </c>
      <c r="R31" t="n">
        <v>0</v>
      </c>
      <c r="S31">
        <f>IF(Q31+R31&gt;0,Q31/(Q31+R31),0)</f>
        <v/>
      </c>
      <c r="T31">
        <f>IF(K31+N31&gt;0,K31/(K31+N31),0)</f>
        <v/>
      </c>
      <c r="U31">
        <f>IF(K31+Q31&gt;0,K31/(K31+Q31),0)</f>
        <v/>
      </c>
      <c r="V31">
        <f>IF(T31+U31&gt;0,2*(T31*U31)/(T31+U31),0)</f>
        <v/>
      </c>
    </row>
    <row r="35">
      <c r="B35" s="1" t="inlineStr">
        <is>
          <t>Executability Metrics</t>
        </is>
      </c>
    </row>
    <row r="36">
      <c r="B36" s="2" t="inlineStr">
        <is>
          <t>Valid Output Rate</t>
        </is>
      </c>
      <c r="E36" s="2" t="inlineStr">
        <is>
          <t>Parameter Completeness</t>
        </is>
      </c>
      <c r="H36" s="2" t="inlineStr">
        <is>
          <t>Duplicate Rate</t>
        </is>
      </c>
    </row>
    <row r="37">
      <c r="A37" s="2" t="inlineStr"/>
      <c r="B37" s="2" t="inlineStr">
        <is>
          <t>Valid JSON Outputs</t>
        </is>
      </c>
      <c r="C37" s="2" t="inlineStr">
        <is>
          <t>All Outputs</t>
        </is>
      </c>
      <c r="D37" s="2" t="inlineStr">
        <is>
          <t>Valid Output Rate %</t>
        </is>
      </c>
      <c r="E37" s="2" t="inlineStr">
        <is>
          <t>Scenarios with all required parameters</t>
        </is>
      </c>
      <c r="F37" s="2" t="inlineStr">
        <is>
          <t>Total Scenarios</t>
        </is>
      </c>
      <c r="G37" s="2" t="inlineStr">
        <is>
          <t>Parameter Completeness %</t>
        </is>
      </c>
      <c r="H37" s="2" t="inlineStr">
        <is>
          <t>Duplicate Scenarios</t>
        </is>
      </c>
      <c r="I37" s="2" t="inlineStr">
        <is>
          <t>Total Scenarios</t>
        </is>
      </c>
      <c r="J37" s="2" t="inlineStr">
        <is>
          <t>Duplicate Rate %</t>
        </is>
      </c>
    </row>
    <row r="38">
      <c r="A38" t="inlineStr">
        <is>
          <t>All Scenarios</t>
        </is>
      </c>
      <c r="B38" t="n">
        <v>194</v>
      </c>
      <c r="C38" t="n">
        <v>194</v>
      </c>
      <c r="D38">
        <f>IF(C38&gt;0,(B38/C38)*100,0)</f>
        <v/>
      </c>
      <c r="E38" t="n">
        <v>194</v>
      </c>
      <c r="F38" t="n">
        <v>194</v>
      </c>
      <c r="G38">
        <f>IF(F38&gt;0,(E38/F38)*100,0)</f>
        <v/>
      </c>
      <c r="H38" t="n">
        <v>0</v>
      </c>
      <c r="I38" t="n">
        <v>194</v>
      </c>
      <c r="J38">
        <f>IF(I38&gt;0,(H38/I38)*100,0)</f>
        <v/>
      </c>
    </row>
    <row r="41">
      <c r="B41" s="1" t="inlineStr">
        <is>
          <t>Detection Effectiveness (RQ4 - requires test execution)</t>
        </is>
      </c>
    </row>
    <row r="42">
      <c r="A42" s="2" t="inlineStr"/>
      <c r="B42" s="2" t="inlineStr">
        <is>
          <t>Detected Inconsistencies</t>
        </is>
      </c>
      <c r="C42" s="2" t="inlineStr">
        <is>
          <t>Known Inconsistencies</t>
        </is>
      </c>
      <c r="D42" s="2" t="inlineStr">
        <is>
          <t>Inconsistency Detection Rate %</t>
        </is>
      </c>
    </row>
    <row r="43">
      <c r="A43" t="inlineStr">
        <is>
          <t>After Test Execution</t>
        </is>
      </c>
      <c r="B43" t="inlineStr">
        <is>
          <t>(pending)</t>
        </is>
      </c>
      <c r="C43" t="inlineStr">
        <is>
          <t>(pending)</t>
        </is>
      </c>
      <c r="D43" t="inlineStr">
        <is>
          <t>N/A</t>
        </is>
      </c>
    </row>
  </sheetData>
  <mergeCells count="14">
    <mergeCell ref="B36:D36"/>
    <mergeCell ref="E36:G36"/>
    <mergeCell ref="H36:J36"/>
    <mergeCell ref="K4:M4"/>
    <mergeCell ref="K20:M20"/>
    <mergeCell ref="B4:D4"/>
    <mergeCell ref="H4:J4"/>
    <mergeCell ref="E4:G4"/>
    <mergeCell ref="N4:P4"/>
    <mergeCell ref="N20:P20"/>
    <mergeCell ref="Q20:S20"/>
    <mergeCell ref="E20:G20"/>
    <mergeCell ref="B20:D20"/>
    <mergeCell ref="H20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2026-03-22T10:50:44Z</dcterms:created>
  <dcterms:modified xsi:type="dcterms:W3CDTF">2026-03-22T10:50:44Z</dcterms:modified>
</cp:coreProperties>
</file>