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4</v>
      </c>
      <c r="C6" t="n">
        <v>4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2</v>
      </c>
      <c r="P6">
        <f>IF(O6&gt;0,O6/N6,0)</f>
        <v/>
      </c>
    </row>
    <row r="7">
      <c r="A7" t="inlineStr">
        <is>
          <t>GET /storefront/customer/profile</t>
        </is>
      </c>
      <c r="B7" t="n">
        <v>4</v>
      </c>
      <c r="C7" t="n">
        <v>4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1</v>
      </c>
      <c r="P7">
        <f>IF(O7&gt;0,O7/N7,0)</f>
        <v/>
      </c>
    </row>
    <row r="8">
      <c r="A8" t="inlineStr">
        <is>
          <t>GET /storefront/cart/items</t>
        </is>
      </c>
      <c r="B8" t="n">
        <v>4</v>
      </c>
      <c r="C8" t="n">
        <v>4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4</v>
      </c>
      <c r="O8" t="n">
        <v>0</v>
      </c>
      <c r="P8">
        <f>IF(O8&gt;0,O8/N8,0)</f>
        <v/>
      </c>
    </row>
    <row r="9">
      <c r="A9" t="inlineStr">
        <is>
          <t>POST /backoffice/products</t>
        </is>
      </c>
      <c r="B9" t="n">
        <v>4</v>
      </c>
      <c r="C9" t="n">
        <v>4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2</v>
      </c>
      <c r="I9" t="n">
        <v>6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2</v>
      </c>
      <c r="P9">
        <f>IF(O9&gt;0,O9/N9,0)</f>
        <v/>
      </c>
    </row>
    <row r="10">
      <c r="A10" t="inlineStr">
        <is>
          <t>POST /storefront/ratings</t>
        </is>
      </c>
      <c r="B10" t="n">
        <v>4</v>
      </c>
      <c r="C10" t="n">
        <v>4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5</v>
      </c>
      <c r="I10" t="n">
        <v>3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0</v>
      </c>
      <c r="P10">
        <f>IF(O10&gt;0,O10/N10,0)</f>
        <v/>
      </c>
    </row>
    <row r="11">
      <c r="A11" t="inlineStr">
        <is>
          <t>POST /storefront/sampledata</t>
        </is>
      </c>
      <c r="B11" t="n">
        <v>4</v>
      </c>
      <c r="C11" t="n">
        <v>4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0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4</v>
      </c>
      <c r="O11" t="n">
        <v>0</v>
      </c>
      <c r="P11">
        <f>IF(O11&gt;0,O11/N11,0)</f>
        <v/>
      </c>
    </row>
    <row r="12">
      <c r="A12" t="inlineStr">
        <is>
          <t>DELETE /backoffice/ratings/{?}</t>
        </is>
      </c>
      <c r="B12" t="n">
        <v>4</v>
      </c>
      <c r="C12" t="n">
        <v>4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2</v>
      </c>
      <c r="I12" t="n">
        <v>4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2</v>
      </c>
      <c r="P12">
        <f>IF(O12&gt;0,O12/N12,0)</f>
        <v/>
      </c>
    </row>
    <row r="13">
      <c r="A13" t="inlineStr">
        <is>
          <t>DELETE /ApiConstant.WAREHOUSE_URL/{?}</t>
        </is>
      </c>
      <c r="B13" t="n">
        <v>0</v>
      </c>
      <c r="C13" t="n">
        <v>4</v>
      </c>
      <c r="D13">
        <f>(B13/C13)*100</f>
        <v/>
      </c>
      <c r="E13" t="n">
        <v>0</v>
      </c>
      <c r="F13" t="n">
        <v>1</v>
      </c>
      <c r="G13">
        <f>IF(F13&gt;0,(E13/F13)*100,0)</f>
        <v/>
      </c>
      <c r="H13" t="n">
        <v>0</v>
      </c>
      <c r="I13" t="n">
        <v>0</v>
      </c>
      <c r="J13">
        <f>IF(I13&gt;0,(H13/I13)*100,0)</f>
        <v/>
      </c>
      <c r="K13" t="n">
        <v>0</v>
      </c>
      <c r="L13" t="n">
        <v>0</v>
      </c>
      <c r="M13">
        <f>IF(L13+K13&gt;0,K13/(K13+L13),0)</f>
        <v/>
      </c>
      <c r="N13" t="n">
        <v>0</v>
      </c>
      <c r="O13" t="n">
        <v>0</v>
      </c>
      <c r="P13">
        <f>IF(O13&gt;0,O13/N13,0)</f>
        <v/>
      </c>
    </row>
    <row r="14">
      <c r="A14" t="inlineStr">
        <is>
          <t>PUT /backoffice/products/subtract-quantity</t>
        </is>
      </c>
      <c r="B14" t="n">
        <v>4</v>
      </c>
      <c r="C14" t="n">
        <v>4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2</v>
      </c>
      <c r="P14">
        <f>IF(O14&gt;0,O14/N14,0)</f>
        <v/>
      </c>
    </row>
    <row r="15">
      <c r="A15" t="inlineStr">
        <is>
          <t>PUT /Constants.ApiConstant.STATE_OR_PROVINCES_URL/{?}</t>
        </is>
      </c>
      <c r="B15" t="n">
        <v>0</v>
      </c>
      <c r="C15" t="n">
        <v>4</v>
      </c>
      <c r="D15">
        <f>(B15/C15)*100</f>
        <v/>
      </c>
      <c r="E15" t="n">
        <v>0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0</v>
      </c>
      <c r="L15" t="n">
        <v>0</v>
      </c>
      <c r="M15">
        <f>IF(L15+K15&gt;0,K15/(K15+L15),0)</f>
        <v/>
      </c>
      <c r="N15" t="n">
        <v>0</v>
      </c>
      <c r="O15" t="n">
        <v>0</v>
      </c>
      <c r="P15">
        <f>IF(O15&gt;0,O15/N15,0)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Negative Rate</t>
        </is>
      </c>
      <c r="N20" s="2" t="inlineStr">
        <is>
          <t>False Negative Rate</t>
        </is>
      </c>
      <c r="Q20" s="2" t="inlineStr">
        <is>
          <t>False Positive Rate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Cases that correctly captures inconsistency (TN)</t>
        </is>
      </c>
      <c r="L21" s="2" t="inlineStr">
        <is>
          <t>Cases that missed inconsistency (FP)</t>
        </is>
      </c>
      <c r="M21" s="2" t="inlineStr">
        <is>
          <t>TNR</t>
        </is>
      </c>
      <c r="N21" s="2" t="inlineStr">
        <is>
          <t>Cases that incorrectly captures inconsistencies (FN)</t>
        </is>
      </c>
      <c r="O21" s="2" t="inlineStr">
        <is>
          <t xml:space="preserve">Cases that tests consistency (TP) </t>
        </is>
      </c>
      <c r="P21" s="2" t="inlineStr">
        <is>
          <t>FNR</t>
        </is>
      </c>
      <c r="Q21" s="2" t="inlineStr">
        <is>
          <t>Cases that missed inconsistency (FP)</t>
        </is>
      </c>
      <c r="R21" s="2" t="inlineStr">
        <is>
          <t>Cases that correctly captures inconsistency (TN)</t>
        </is>
      </c>
      <c r="S21" s="2" t="inlineStr">
        <is>
          <t>FPR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3</v>
      </c>
      <c r="C22" t="n">
        <v>4</v>
      </c>
      <c r="D22">
        <f>IF(C22&gt;0,(B22/C22)*100,0)</f>
        <v/>
      </c>
      <c r="E22" t="n">
        <v>3</v>
      </c>
      <c r="F22" t="n">
        <v>4</v>
      </c>
      <c r="G22">
        <f>(E22/F22)*100</f>
        <v/>
      </c>
      <c r="H22" t="n">
        <v>4</v>
      </c>
      <c r="I22" t="n">
        <v>4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IF(K22+Q22&gt;0,K22/(K22+Q22),0)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2</v>
      </c>
      <c r="C23" t="n">
        <v>4</v>
      </c>
      <c r="D23">
        <f>IF(C23&gt;0,(B23/C23)*100,0)</f>
        <v/>
      </c>
      <c r="E23" t="n">
        <v>2</v>
      </c>
      <c r="F23" t="n">
        <v>4</v>
      </c>
      <c r="G23">
        <f>(E23/F23)*100</f>
        <v/>
      </c>
      <c r="H23" t="n">
        <v>4</v>
      </c>
      <c r="I23" t="n">
        <v>4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IF(K23+Q23&gt;0,K23/(K23+Q23),0)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4</v>
      </c>
      <c r="C24" t="n">
        <v>4</v>
      </c>
      <c r="D24">
        <f>IF(C24&gt;0,(B24/C24)*100,0)</f>
        <v/>
      </c>
      <c r="E24" t="n">
        <v>4</v>
      </c>
      <c r="F24" t="n">
        <v>4</v>
      </c>
      <c r="G24">
        <f>(E24/F24)*100</f>
        <v/>
      </c>
      <c r="H24" t="n">
        <v>4</v>
      </c>
      <c r="I24" t="n">
        <v>4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IF(K24+Q24&gt;0,K24/(K24+Q24),0)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3</v>
      </c>
      <c r="C25" t="n">
        <v>4</v>
      </c>
      <c r="D25">
        <f>IF(C25&gt;0,(B25/C25)*100,0)</f>
        <v/>
      </c>
      <c r="E25" t="n">
        <v>4</v>
      </c>
      <c r="F25" t="n">
        <v>4</v>
      </c>
      <c r="G25">
        <f>(E25/F25)*100</f>
        <v/>
      </c>
      <c r="H25" t="n">
        <v>4</v>
      </c>
      <c r="I25" t="n">
        <v>4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IF(K25+Q25&gt;0,K25/(K25+Q25),0)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4</v>
      </c>
      <c r="C26" t="n">
        <v>4</v>
      </c>
      <c r="D26">
        <f>IF(C26&gt;0,(B26/C26)*100,0)</f>
        <v/>
      </c>
      <c r="E26" t="n">
        <v>4</v>
      </c>
      <c r="F26" t="n">
        <v>4</v>
      </c>
      <c r="G26">
        <f>(E26/F26)*100</f>
        <v/>
      </c>
      <c r="H26" t="n">
        <v>4</v>
      </c>
      <c r="I26" t="n">
        <v>4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1</v>
      </c>
      <c r="O26" t="n">
        <v>0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IF(K26+N26&gt;0,K26/(K26+N26),0)</f>
        <v/>
      </c>
      <c r="U26">
        <f>IF(K26+Q26&gt;0,K26/(K26+Q26),0)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4</v>
      </c>
      <c r="C27" t="n">
        <v>4</v>
      </c>
      <c r="D27">
        <f>IF(C27&gt;0,(B27/C27)*100,0)</f>
        <v/>
      </c>
      <c r="E27" t="n">
        <v>0</v>
      </c>
      <c r="F27" t="n">
        <v>4</v>
      </c>
      <c r="G27">
        <f>(E27/F27)*100</f>
        <v/>
      </c>
      <c r="H27" t="n">
        <v>4</v>
      </c>
      <c r="I27" t="n">
        <v>4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0</v>
      </c>
      <c r="O27" t="n">
        <v>1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IF(K27+Q27&gt;0,K27/(K27+Q27),0)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3</v>
      </c>
      <c r="C28" t="n">
        <v>4</v>
      </c>
      <c r="D28">
        <f>IF(C28&gt;0,(B28/C28)*100,0)</f>
        <v/>
      </c>
      <c r="E28" t="n">
        <v>4</v>
      </c>
      <c r="F28" t="n">
        <v>4</v>
      </c>
      <c r="G28">
        <f>(E28/F28)*100</f>
        <v/>
      </c>
      <c r="H28" t="n">
        <v>4</v>
      </c>
      <c r="I28" t="n">
        <v>4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IF(K28+Q28&gt;0,K28/(K28+Q28),0)</f>
        <v/>
      </c>
      <c r="V28">
        <f>IF(T28+U28&gt;0,2*(T28*U28)/(T28+U28),0)</f>
        <v/>
      </c>
    </row>
    <row r="29">
      <c r="A29" t="inlineStr">
        <is>
          <t>DELETE /ApiConstant.WAREHOUSE_URL/{?}</t>
        </is>
      </c>
      <c r="B29" t="n">
        <v>0</v>
      </c>
      <c r="C29" t="n">
        <v>0</v>
      </c>
      <c r="D29">
        <f>IF(C29&gt;0,(B29/C29)*100,0)</f>
        <v/>
      </c>
      <c r="E29" t="n">
        <v>0</v>
      </c>
      <c r="F29" t="n">
        <v>0</v>
      </c>
      <c r="G29">
        <f>(E29/F29)*100</f>
        <v/>
      </c>
      <c r="H29" t="n">
        <v>0</v>
      </c>
      <c r="I29" t="n">
        <v>0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IF(K29+Q29&gt;0,K29/(K29+Q29),0)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3</v>
      </c>
      <c r="C30" t="n">
        <v>4</v>
      </c>
      <c r="D30">
        <f>IF(C30&gt;0,(B30/C30)*100,0)</f>
        <v/>
      </c>
      <c r="E30" t="n">
        <v>3</v>
      </c>
      <c r="F30" t="n">
        <v>4</v>
      </c>
      <c r="G30">
        <f>(E30/F30)*100</f>
        <v/>
      </c>
      <c r="H30" t="n">
        <v>4</v>
      </c>
      <c r="I30" t="n">
        <v>4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IF(K30+Q30&gt;0,K30/(K30+Q30),0)</f>
        <v/>
      </c>
      <c r="V30">
        <f>IF(T30+U30&gt;0,2*(T30*U30)/(T30+U30),0)</f>
        <v/>
      </c>
    </row>
    <row r="31">
      <c r="A31" t="inlineStr">
        <is>
          <t>PUT /Constants.ApiConstant.STATE_OR_PROVINCES_URL/{?}</t>
        </is>
      </c>
      <c r="B31" t="n">
        <v>0</v>
      </c>
      <c r="C31" t="n">
        <v>0</v>
      </c>
      <c r="D31">
        <f>IF(C31&gt;0,(B31/C31)*100,0)</f>
        <v/>
      </c>
      <c r="E31" t="n">
        <v>0</v>
      </c>
      <c r="F31" t="n">
        <v>0</v>
      </c>
      <c r="G31">
        <f>(E31/F31)*100</f>
        <v/>
      </c>
      <c r="H31" t="n">
        <v>0</v>
      </c>
      <c r="I31" t="n">
        <v>0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IF(K31+Q31&gt;0,K31/(K31+Q31),0)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2026-03-22T10:50:39Z</dcterms:created>
  <dcterms:modified xsi:type="dcterms:W3CDTF">2026-03-22T10:50:39Z</dcterms:modified>
</cp:coreProperties>
</file>